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workspace-igm\advanced-cloud-developer\실습산출물\3차시\"/>
    </mc:Choice>
  </mc:AlternateContent>
  <bookViews>
    <workbookView xWindow="0" yWindow="0" windowWidth="17256" windowHeight="7704"/>
  </bookViews>
  <sheets>
    <sheet name="단위" sheetId="1" r:id="rId1"/>
    <sheet name="통합" sheetId="2" r:id="rId2"/>
    <sheet name="E2E" sheetId="3" r:id="rId3"/>
    <sheet name="요약" sheetId="4" r:id="rId4"/>
  </sheets>
  <calcPr calcId="162913"/>
</workbook>
</file>

<file path=xl/calcChain.xml><?xml version="1.0" encoding="utf-8"?>
<calcChain xmlns="http://schemas.openxmlformats.org/spreadsheetml/2006/main">
  <c r="D16" i="4" l="1"/>
  <c r="E16" i="4" s="1"/>
  <c r="C16" i="4"/>
  <c r="D15" i="4"/>
  <c r="C15" i="4"/>
  <c r="D14" i="4"/>
  <c r="E14" i="4" s="1"/>
  <c r="C14" i="4"/>
  <c r="D13" i="4"/>
  <c r="E13" i="4" s="1"/>
  <c r="C13" i="4"/>
  <c r="D12" i="4"/>
  <c r="E12" i="4" s="1"/>
  <c r="C12" i="4"/>
  <c r="D11" i="4"/>
  <c r="E11" i="4" s="1"/>
  <c r="C11" i="4"/>
  <c r="D6" i="4"/>
  <c r="C6" i="4"/>
  <c r="B6" i="4"/>
  <c r="D5" i="4"/>
  <c r="C5" i="4"/>
  <c r="B5" i="4"/>
  <c r="D4" i="4"/>
  <c r="D7" i="4" s="1"/>
  <c r="C4" i="4"/>
  <c r="B4" i="4"/>
  <c r="B7" i="4" s="1"/>
  <c r="C7" i="4" l="1"/>
  <c r="B18" i="4"/>
  <c r="E15" i="4"/>
</calcChain>
</file>

<file path=xl/sharedStrings.xml><?xml version="1.0" encoding="utf-8"?>
<sst xmlns="http://schemas.openxmlformats.org/spreadsheetml/2006/main" count="328" uniqueCount="177">
  <si>
    <t>TC-ID</t>
  </si>
  <si>
    <t>테스트구분</t>
  </si>
  <si>
    <t>관련 인수조건(AC-ID)</t>
  </si>
  <si>
    <t>시나리오명</t>
  </si>
  <si>
    <t>사전조건(Given)</t>
  </si>
  <si>
    <t>실행절차(When)</t>
  </si>
  <si>
    <t>기대결과(Then)</t>
  </si>
  <si>
    <t>테스트데이터</t>
  </si>
  <si>
    <t>우선순위(상/중/하)</t>
  </si>
  <si>
    <t>자동화여부</t>
  </si>
  <si>
    <t>결과(Pass/Fail)</t>
  </si>
  <si>
    <t>비고</t>
  </si>
  <si>
    <t>TC-U1</t>
  </si>
  <si>
    <t>단위</t>
  </si>
  <si>
    <t>AC1</t>
  </si>
  <si>
    <t>GitHub URL 정상 파싱</t>
  </si>
  <si>
    <t>유효한 https://github.com/owner/repo 형식 URL</t>
  </si>
  <si>
    <t>parseRepoUrl(url) 호출</t>
  </si>
  <si>
    <t>{owner, repo} 객체 반환</t>
  </si>
  <si>
    <t>https://github.com/octocat/Hello-World</t>
  </si>
  <si>
    <t>상</t>
  </si>
  <si>
    <t>Y</t>
  </si>
  <si>
    <t>Pass</t>
  </si>
  <si>
    <t>test/github.test.js, node --test 통과</t>
  </si>
  <si>
    <t>TC-U2</t>
  </si>
  <si>
    <t>URL 끝 슬래시·.git 처리</t>
  </si>
  <si>
    <t>URL 끝에 '/' 또는 '.git'이 붙은 경우</t>
  </si>
  <si>
    <t>동일하게 {owner, repo} 반환</t>
  </si>
  <si>
    <t>.../Hello-World/, .../Hello-World.git</t>
  </si>
  <si>
    <t>중</t>
  </si>
  <si>
    <t>-</t>
  </si>
  <si>
    <t>TC-U3</t>
  </si>
  <si>
    <t>AC4</t>
  </si>
  <si>
    <t>잘못된 URL 형식 판별</t>
  </si>
  <si>
    <t>GitHub 레포 URL 형식이 아닌 문자열</t>
  </si>
  <si>
    <t>null 반환(이후 400 오류로 이어짐)</t>
  </si>
  <si>
    <t>"not-a-valid-url", "", undefined</t>
  </si>
  <si>
    <t>TC-U4</t>
  </si>
  <si>
    <t>리포트 생성 및 개인정보 미노출</t>
  </si>
  <si>
    <t>정상 분석 결과 데이터(mock)</t>
  </si>
  <si>
    <t>buildReportMarkdown(data) 호출</t>
  </si>
  <si>
    <t>기술스택·커밋 요약 포함, 이메일 등 '@' 문자열 미포함</t>
  </si>
  <si>
    <t>언어 HTML 76%, 커밋 1건(mock)</t>
  </si>
  <si>
    <t>마스킹 원칙(스펙 3단계 ⑤) 검증</t>
  </si>
  <si>
    <t>TC-U5</t>
  </si>
  <si>
    <t>빈 레포 결측값 처리</t>
  </si>
  <si>
    <t>커밋 0건·언어 통계 없음(mock)</t>
  </si>
  <si>
    <t>"커밋 없음", "언어 통계 없음" 문구 포함</t>
  </si>
  <si>
    <t>languageStats: [], commits: []</t>
  </si>
  <si>
    <t>TC-I1</t>
  </si>
  <si>
    <t>통합</t>
  </si>
  <si>
    <t>정상 레포 분석 API</t>
  </si>
  <si>
    <t>서버 기동 중, 유효한 공개 레포 URL</t>
  </si>
  <si>
    <t>POST /api/analyze 호출</t>
  </si>
  <si>
    <t>200 응답, 분석결과·Markdown 리포트 반환 및 SQLite 저장</t>
  </si>
  <si>
    <t>실제 GitHub API 연동 확인(분석 이력 ID=1)</t>
  </si>
  <si>
    <t>TC-I2</t>
  </si>
  <si>
    <t>잘못된 URL 형식 오류</t>
  </si>
  <si>
    <t>형식이 올바르지 않은 URL</t>
  </si>
  <si>
    <t>400 응답, "URL 형식이 올바르지 않습니다" 안내</t>
  </si>
  <si>
    <t>"not-a-valid-url"</t>
  </si>
  <si>
    <t>분석 이력 ID=21로 실패 기록됨</t>
  </si>
  <si>
    <t>TC-I3</t>
  </si>
  <si>
    <t>AC5</t>
  </si>
  <si>
    <t>GitHub API Rate Limit 초과 처리</t>
  </si>
  <si>
    <t>비인증 상태로 GitHub API 호출 한도 소진</t>
  </si>
  <si>
    <t>429 응답, 재시도 가능 시각(UTC) 안내</t>
  </si>
  <si>
    <t>https://github.com/facebook/react (한도 소진 후 재호출)</t>
  </si>
  <si>
    <t>GitHub 403(rate limit) → 앱 429 매핑 확인, 실제 발생 재현됨</t>
  </si>
  <si>
    <t>TC-I4</t>
  </si>
  <si>
    <t>AC6</t>
  </si>
  <si>
    <t>Notion 토큰 미설정 처리</t>
  </si>
  <si>
    <t>.env의 NOTION_TOKEN·NOTION_PARENT_PAGE_ID가 비어 있음</t>
  </si>
  <si>
    <t>POST /api/analyses/1/notion-upload 호출</t>
  </si>
  <si>
    <t>401 응답, ".env 설정을 확인하세요" 안내(토큰 값 자체는 응답에 없음)</t>
  </si>
  <si>
    <t>analysisId=1</t>
  </si>
  <si>
    <t>응답 바디에 토큰 실값 미포함 확인</t>
  </si>
  <si>
    <t>TC-I5</t>
  </si>
  <si>
    <t>AC3</t>
  </si>
  <si>
    <t>분석 이력 목록 조회</t>
  </si>
  <si>
    <t>분석 이력이 1건 이상 존재</t>
  </si>
  <si>
    <t>GET /api/analyses 호출</t>
  </si>
  <si>
    <t>200 응답, 이력 배열 반환(최신순)</t>
  </si>
  <si>
    <t>22건(성공 18건, 실패 4건) 확인</t>
  </si>
  <si>
    <t>TC-I7</t>
  </si>
  <si>
    <t>AC2</t>
  </si>
  <si>
    <t>Notion 업로드 성공</t>
  </si>
  <si>
    <t>분석 완료 상태, NOTION_TOKEN·NOTION_PARENT_PAGE_ID 설정됨</t>
  </si>
  <si>
    <t>POST /api/analyses/29/notion-upload 호출</t>
  </si>
  <si>
    <t>200 응답, app.notion.com 페이지 URL 반환 및 report.notion_url 저장</t>
  </si>
  <si>
    <t>analysisId=29 (octocat/Hello-World)</t>
  </si>
  <si>
    <t>host만 확인(app.notion.com), 토큰 실값은 미확인</t>
  </si>
  <si>
    <t>TC-I8</t>
  </si>
  <si>
    <t>비관리자 감사로그 조회 차단</t>
  </si>
  <si>
    <t>role 파라미터 없음(일반 사용자)</t>
  </si>
  <si>
    <t>GET /api/audit-log 호출</t>
  </si>
  <si>
    <t>403 응답, 감사로그 내용이 노출되지 않음</t>
  </si>
  <si>
    <t>감사로그 자체도 관리자 전용 리소스로 보호</t>
  </si>
  <si>
    <t>TC-I9</t>
  </si>
  <si>
    <t>분석 실행 시 감사로그 기록 확인</t>
  </si>
  <si>
    <t>정상 분석 1건 실행</t>
  </si>
  <si>
    <t>GET /api/audit-log?role=admin 로 직후 로그 조회</t>
  </si>
  <si>
    <t>action=analyze 행이 실제로 추가되고 누가(actor_role)·언제(at)·무엇(result/detail)이 모두 채워짐</t>
  </si>
  <si>
    <t>실무 필수요건(감사로그) 자동 검증</t>
  </si>
  <si>
    <t>TC-I10</t>
  </si>
  <si>
    <t>관리자 기능 사용 시 감사로그 기록 확인(성공/거부 모두)</t>
  </si>
  <si>
    <t>분석 1건 존재</t>
  </si>
  <si>
    <t>비관리자로 DELETE 시도 → 403 확인 → 관리자로 DELETE 재시도 → 200 확인 → 각각 감사로그 조회</t>
  </si>
  <si>
    <t>forbidden(비관리자)·success(관리자) 두 건이 각각 기록됨</t>
  </si>
  <si>
    <t>권한 분기 자체도 감사로그로 추적 가능함을 확인</t>
  </si>
  <si>
    <t>캡처 파일명</t>
  </si>
  <si>
    <t>TC-E1</t>
  </si>
  <si>
    <t>E2E</t>
  </si>
  <si>
    <t>메인화면 초기 렌더</t>
  </si>
  <si>
    <t>서버 기동(npm start) 완료</t>
  </si>
  <si>
    <t>http://localhost:4000/index.html 접속</t>
  </si>
  <si>
    <t>URL 입력폼과 '분석 실행' 버튼이 정상 노출됨</t>
  </si>
  <si>
    <t>01_초기화면.png</t>
  </si>
  <si>
    <t>TC-E2</t>
  </si>
  <si>
    <t>레포 URL 입력 상태 확인</t>
  </si>
  <si>
    <t>메인화면 접속 상태</t>
  </si>
  <si>
    <t>레포 URL 입력창에 값 입력</t>
  </si>
  <si>
    <t>입력한 URL이 입력창에 그대로 반영됨</t>
  </si>
  <si>
    <t>https://github.com/facebook/react</t>
  </si>
  <si>
    <t>02_실행_입력.png</t>
  </si>
  <si>
    <t>TC-E3</t>
  </si>
  <si>
    <t>분석 결과 화면 확인</t>
  </si>
  <si>
    <t>분석 실행 완료(정상 응답 수신)</t>
  </si>
  <si>
    <t>결과 미리보기 영역 스크롤/확인</t>
  </si>
  <si>
    <t>기술스택 막대그래프·최근 커밋 5건·Markdown 리포트 원문이 표시됨</t>
  </si>
  <si>
    <t>facebook/react 실제 분석 결과</t>
  </si>
  <si>
    <t>03_결과확인_차트리포트.png</t>
  </si>
  <si>
    <t>TC-E4</t>
  </si>
  <si>
    <t>GitHub 예외(비공개/미존재 레포) 화면 확인</t>
  </si>
  <si>
    <t>존재하지 않는(또는 비공개) 레포 URL, GITHUB_TOKEN 인증 상태</t>
  </si>
  <si>
    <t>'분석 실행' 버튼 클릭</t>
  </si>
  <si>
    <t>"비공개 레포이거나 존재하지 않는 레포입니다"(HTTP 404) 오류 박스가 표시되고 리포트는 생성되지 않음</t>
  </si>
  <si>
    <t>https://github.com/this-org-does-not-exist-xyz/private-tool</t>
  </si>
  <si>
    <t>04_예외처리.png</t>
  </si>
  <si>
    <t>GITHUB_TOKEN 설정 후 인증 상태에서 재검증(HTTP 429 대신 404로 실제 재현)</t>
  </si>
  <si>
    <t>TC-E5</t>
  </si>
  <si>
    <t>이력 목록 화면 확인</t>
  </si>
  <si>
    <t>분석 이력 22건 존재</t>
  </si>
  <si>
    <t>history.html 접속</t>
  </si>
  <si>
    <t>이력 테이블에 레포명·수집시각·상태(success/failed)가 표시됨</t>
  </si>
  <si>
    <t>05_이력목록.png</t>
  </si>
  <si>
    <t>TC-E6</t>
  </si>
  <si>
    <t>Notion 업로드 실패 안내 확인</t>
  </si>
  <si>
    <t>NOTION_TOKEN 미설정 상태</t>
  </si>
  <si>
    <t>'Notion에 업로드' 버튼 클릭</t>
  </si>
  <si>
    <t>"업로드 실패(HTTP 401)" 안내가 표시되고 토큰 값은 노출되지 않음</t>
  </si>
  <si>
    <t>analysisId=5</t>
  </si>
  <si>
    <t>06_Notion업로드실패.png</t>
  </si>
  <si>
    <t>TC-E7</t>
  </si>
  <si>
    <t>Notion 업로드 성공 화면 확인</t>
  </si>
  <si>
    <t>분석 실행 완료(octocat/Spoon-Knife), Notion 설정 완료</t>
  </si>
  <si>
    <t>"업로드 완료" 안내와 함께 실제 Notion 페이지 링크(app.notion.com)가 표시됨</t>
  </si>
  <si>
    <t>analysisId=30 (octocat/Spoon-Knife)</t>
  </si>
  <si>
    <t>07_Notion업로드성공.png</t>
  </si>
  <si>
    <t>테스트 결과 요약</t>
  </si>
  <si>
    <t>테스트 구분</t>
  </si>
  <si>
    <t>케이스 수</t>
  </si>
  <si>
    <t>Fail</t>
  </si>
  <si>
    <t>합계</t>
  </si>
  <si>
    <t>인수조건(AC) 커버리지 (전체 6개 대비)</t>
  </si>
  <si>
    <t>AC-ID</t>
  </si>
  <si>
    <t>설명</t>
  </si>
  <si>
    <t>커버 TC 수</t>
  </si>
  <si>
    <t>Pass 수</t>
  </si>
  <si>
    <t>상태</t>
  </si>
  <si>
    <t>정상: 분석 실행 → 기술스택·커밋 요약 리포트 표시</t>
  </si>
  <si>
    <t>정상: Notion 업로드 → 성공 시 페이지 링크 표시</t>
  </si>
  <si>
    <t>정상: 이력 목록에서 과거 분석 재조회</t>
  </si>
  <si>
    <t>예외: 비공개/미존재/형식오류 레포 안내</t>
  </si>
  <si>
    <t>예외: GitHub Rate Limit 초과 안내</t>
  </si>
  <si>
    <t>예외: Notion 토큰 미설정/만료 안내(토큰값 비노출)</t>
  </si>
  <si>
    <t>AC 전체 커버리지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</si>
</sst>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16324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16324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2">
    <border>
      <left/>
      <right/>
      <top/>
      <bottom/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표준" xfId="0" builtinId="0"/>
  </cellStyles>
  <dxfs count="18"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  <dxf>
      <font>
        <b/>
        <sz val="10"/>
        <color rgb="FFC53030"/>
        <name val="맑은 고딕"/>
      </font>
      <fill>
        <patternFill patternType="solid">
          <fgColor rgb="FFFDE8E8"/>
        </patternFill>
      </fill>
    </dxf>
    <dxf>
      <font>
        <b/>
        <sz val="10"/>
        <color rgb="FF1B7F3A"/>
        <name val="맑은 고딕"/>
      </font>
      <fill>
        <patternFill patternType="solid">
          <fgColor rgb="FFE3F9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0" customWidth="1"/>
    <col min="3" max="3" width="14" customWidth="1"/>
    <col min="4" max="4" width="24" customWidth="1"/>
    <col min="5" max="6" width="26" customWidth="1"/>
    <col min="7" max="7" width="30" customWidth="1"/>
    <col min="8" max="8" width="26" customWidth="1"/>
    <col min="9" max="9" width="12" customWidth="1"/>
    <col min="10" max="10" width="10" customWidth="1"/>
    <col min="11" max="11" width="12" customWidth="1"/>
    <col min="12" max="12" width="24" customWidth="1"/>
  </cols>
  <sheetData>
    <row r="1" spans="1:12" ht="31.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.049999999999997" customHeight="1" x14ac:dyDescent="0.4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40.049999999999997" customHeight="1" x14ac:dyDescent="0.4">
      <c r="A3" s="2" t="s">
        <v>24</v>
      </c>
      <c r="B3" s="2" t="s">
        <v>13</v>
      </c>
      <c r="C3" s="2" t="s">
        <v>14</v>
      </c>
      <c r="D3" s="2" t="s">
        <v>25</v>
      </c>
      <c r="E3" s="2" t="s">
        <v>26</v>
      </c>
      <c r="F3" s="2" t="s">
        <v>17</v>
      </c>
      <c r="G3" s="2" t="s">
        <v>27</v>
      </c>
      <c r="H3" s="2" t="s">
        <v>28</v>
      </c>
      <c r="I3" s="2" t="s">
        <v>29</v>
      </c>
      <c r="J3" s="2" t="s">
        <v>21</v>
      </c>
      <c r="K3" s="2" t="s">
        <v>22</v>
      </c>
      <c r="L3" s="2" t="s">
        <v>30</v>
      </c>
    </row>
    <row r="4" spans="1:12" ht="40.049999999999997" customHeight="1" x14ac:dyDescent="0.4">
      <c r="A4" s="2" t="s">
        <v>31</v>
      </c>
      <c r="B4" s="2" t="s">
        <v>13</v>
      </c>
      <c r="C4" s="2" t="s">
        <v>32</v>
      </c>
      <c r="D4" s="2" t="s">
        <v>33</v>
      </c>
      <c r="E4" s="2" t="s">
        <v>34</v>
      </c>
      <c r="F4" s="2" t="s">
        <v>17</v>
      </c>
      <c r="G4" s="2" t="s">
        <v>35</v>
      </c>
      <c r="H4" s="2" t="s">
        <v>36</v>
      </c>
      <c r="I4" s="2" t="s">
        <v>20</v>
      </c>
      <c r="J4" s="2" t="s">
        <v>21</v>
      </c>
      <c r="K4" s="2" t="s">
        <v>22</v>
      </c>
      <c r="L4" s="2" t="s">
        <v>30</v>
      </c>
    </row>
    <row r="5" spans="1:12" ht="40.049999999999997" customHeight="1" x14ac:dyDescent="0.4">
      <c r="A5" s="2" t="s">
        <v>37</v>
      </c>
      <c r="B5" s="2" t="s">
        <v>13</v>
      </c>
      <c r="C5" s="2" t="s">
        <v>14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20</v>
      </c>
      <c r="J5" s="2" t="s">
        <v>21</v>
      </c>
      <c r="K5" s="2" t="s">
        <v>22</v>
      </c>
      <c r="L5" s="2" t="s">
        <v>43</v>
      </c>
    </row>
    <row r="6" spans="1:12" ht="40.049999999999997" customHeight="1" x14ac:dyDescent="0.4">
      <c r="A6" s="2" t="s">
        <v>44</v>
      </c>
      <c r="B6" s="2" t="s">
        <v>13</v>
      </c>
      <c r="C6" s="2" t="s">
        <v>32</v>
      </c>
      <c r="D6" s="2" t="s">
        <v>45</v>
      </c>
      <c r="E6" s="2" t="s">
        <v>46</v>
      </c>
      <c r="F6" s="2" t="s">
        <v>40</v>
      </c>
      <c r="G6" s="2" t="s">
        <v>47</v>
      </c>
      <c r="H6" s="2" t="s">
        <v>48</v>
      </c>
      <c r="I6" s="2" t="s">
        <v>29</v>
      </c>
      <c r="J6" s="2" t="s">
        <v>21</v>
      </c>
      <c r="K6" s="2" t="s">
        <v>22</v>
      </c>
      <c r="L6" s="2" t="s">
        <v>30</v>
      </c>
    </row>
  </sheetData>
  <phoneticPr fontId="6" type="noConversion"/>
  <conditionalFormatting sqref="K2:K6">
    <cfRule type="cellIs" dxfId="17" priority="1" operator="equal">
      <formula>"Pass"</formula>
    </cfRule>
    <cfRule type="cellIs" dxfId="16" priority="2" operator="equal">
      <formula>"Fail"</formula>
    </cfRule>
    <cfRule type="cellIs" dxfId="15" priority="3" operator="equal">
      <formula>"Pass"</formula>
    </cfRule>
    <cfRule type="cellIs" dxfId="14" priority="4" operator="equal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0" customWidth="1"/>
    <col min="3" max="3" width="14" customWidth="1"/>
    <col min="4" max="4" width="24" customWidth="1"/>
    <col min="5" max="6" width="26" customWidth="1"/>
    <col min="7" max="7" width="30" customWidth="1"/>
    <col min="8" max="8" width="26" customWidth="1"/>
    <col min="9" max="9" width="12" customWidth="1"/>
    <col min="10" max="10" width="10" customWidth="1"/>
    <col min="11" max="11" width="12" customWidth="1"/>
    <col min="12" max="12" width="24" customWidth="1"/>
  </cols>
  <sheetData>
    <row r="1" spans="1:12" ht="31.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.049999999999997" customHeight="1" x14ac:dyDescent="0.4">
      <c r="A2" s="2" t="s">
        <v>49</v>
      </c>
      <c r="B2" s="2" t="s">
        <v>50</v>
      </c>
      <c r="C2" s="2" t="s">
        <v>14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55</v>
      </c>
    </row>
    <row r="3" spans="1:12" ht="40.049999999999997" customHeight="1" x14ac:dyDescent="0.4">
      <c r="A3" s="2" t="s">
        <v>56</v>
      </c>
      <c r="B3" s="2" t="s">
        <v>50</v>
      </c>
      <c r="C3" s="2" t="s">
        <v>32</v>
      </c>
      <c r="D3" s="2" t="s">
        <v>57</v>
      </c>
      <c r="E3" s="2" t="s">
        <v>58</v>
      </c>
      <c r="F3" s="2" t="s">
        <v>53</v>
      </c>
      <c r="G3" s="2" t="s">
        <v>59</v>
      </c>
      <c r="H3" s="2" t="s">
        <v>60</v>
      </c>
      <c r="I3" s="2" t="s">
        <v>20</v>
      </c>
      <c r="J3" s="2" t="s">
        <v>21</v>
      </c>
      <c r="K3" s="2" t="s">
        <v>22</v>
      </c>
      <c r="L3" s="2" t="s">
        <v>61</v>
      </c>
    </row>
    <row r="4" spans="1:12" ht="40.049999999999997" customHeight="1" x14ac:dyDescent="0.4">
      <c r="A4" s="2" t="s">
        <v>62</v>
      </c>
      <c r="B4" s="2" t="s">
        <v>50</v>
      </c>
      <c r="C4" s="2" t="s">
        <v>63</v>
      </c>
      <c r="D4" s="2" t="s">
        <v>64</v>
      </c>
      <c r="E4" s="2" t="s">
        <v>65</v>
      </c>
      <c r="F4" s="2" t="s">
        <v>53</v>
      </c>
      <c r="G4" s="2" t="s">
        <v>66</v>
      </c>
      <c r="H4" s="2" t="s">
        <v>67</v>
      </c>
      <c r="I4" s="2" t="s">
        <v>20</v>
      </c>
      <c r="J4" s="2" t="s">
        <v>21</v>
      </c>
      <c r="K4" s="2" t="s">
        <v>22</v>
      </c>
      <c r="L4" s="2" t="s">
        <v>68</v>
      </c>
    </row>
    <row r="5" spans="1:12" ht="40.049999999999997" customHeight="1" x14ac:dyDescent="0.4">
      <c r="A5" s="2" t="s">
        <v>69</v>
      </c>
      <c r="B5" s="2" t="s">
        <v>50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20</v>
      </c>
      <c r="J5" s="2" t="s">
        <v>21</v>
      </c>
      <c r="K5" s="2" t="s">
        <v>22</v>
      </c>
      <c r="L5" s="2" t="s">
        <v>76</v>
      </c>
    </row>
    <row r="6" spans="1:12" ht="40.049999999999997" customHeight="1" x14ac:dyDescent="0.4">
      <c r="A6" s="2" t="s">
        <v>77</v>
      </c>
      <c r="B6" s="2" t="s">
        <v>50</v>
      </c>
      <c r="C6" s="2" t="s">
        <v>78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30</v>
      </c>
      <c r="I6" s="2" t="s">
        <v>29</v>
      </c>
      <c r="J6" s="2" t="s">
        <v>21</v>
      </c>
      <c r="K6" s="2" t="s">
        <v>22</v>
      </c>
      <c r="L6" s="2" t="s">
        <v>83</v>
      </c>
    </row>
    <row r="7" spans="1:12" ht="40.049999999999997" customHeight="1" x14ac:dyDescent="0.4">
      <c r="A7" s="10" t="s">
        <v>84</v>
      </c>
      <c r="B7" s="10" t="s">
        <v>50</v>
      </c>
      <c r="C7" s="10" t="s">
        <v>85</v>
      </c>
      <c r="D7" s="10" t="s">
        <v>86</v>
      </c>
      <c r="E7" s="10" t="s">
        <v>87</v>
      </c>
      <c r="F7" s="10" t="s">
        <v>88</v>
      </c>
      <c r="G7" s="10" t="s">
        <v>89</v>
      </c>
      <c r="H7" s="10" t="s">
        <v>90</v>
      </c>
      <c r="I7" s="10" t="s">
        <v>20</v>
      </c>
      <c r="J7" s="10" t="s">
        <v>21</v>
      </c>
      <c r="K7" s="10" t="s">
        <v>22</v>
      </c>
      <c r="L7" s="10" t="s">
        <v>91</v>
      </c>
    </row>
    <row r="8" spans="1:12" ht="40.049999999999997" customHeight="1" x14ac:dyDescent="0.4">
      <c r="A8" s="10" t="s">
        <v>92</v>
      </c>
      <c r="B8" s="10" t="s">
        <v>50</v>
      </c>
      <c r="C8" s="10" t="s">
        <v>30</v>
      </c>
      <c r="D8" s="10" t="s">
        <v>93</v>
      </c>
      <c r="E8" s="10" t="s">
        <v>94</v>
      </c>
      <c r="F8" s="10" t="s">
        <v>95</v>
      </c>
      <c r="G8" s="10" t="s">
        <v>96</v>
      </c>
      <c r="H8" s="10" t="s">
        <v>30</v>
      </c>
      <c r="I8" s="10" t="s">
        <v>29</v>
      </c>
      <c r="J8" s="10" t="s">
        <v>21</v>
      </c>
      <c r="K8" s="10" t="s">
        <v>22</v>
      </c>
      <c r="L8" s="10" t="s">
        <v>97</v>
      </c>
    </row>
    <row r="9" spans="1:12" ht="40.049999999999997" customHeight="1" x14ac:dyDescent="0.4">
      <c r="A9" s="10" t="s">
        <v>98</v>
      </c>
      <c r="B9" s="10" t="s">
        <v>50</v>
      </c>
      <c r="C9" s="10" t="s">
        <v>30</v>
      </c>
      <c r="D9" s="10" t="s">
        <v>99</v>
      </c>
      <c r="E9" s="10" t="s">
        <v>100</v>
      </c>
      <c r="F9" s="10" t="s">
        <v>101</v>
      </c>
      <c r="G9" s="10" t="s">
        <v>102</v>
      </c>
      <c r="H9" s="10" t="s">
        <v>19</v>
      </c>
      <c r="I9" s="10" t="s">
        <v>20</v>
      </c>
      <c r="J9" s="10" t="s">
        <v>21</v>
      </c>
      <c r="K9" s="10" t="s">
        <v>22</v>
      </c>
      <c r="L9" s="10" t="s">
        <v>103</v>
      </c>
    </row>
    <row r="10" spans="1:12" ht="40.049999999999997" customHeight="1" x14ac:dyDescent="0.4">
      <c r="A10" s="10" t="s">
        <v>104</v>
      </c>
      <c r="B10" s="10" t="s">
        <v>50</v>
      </c>
      <c r="C10" s="10" t="s">
        <v>30</v>
      </c>
      <c r="D10" s="10" t="s">
        <v>105</v>
      </c>
      <c r="E10" s="10" t="s">
        <v>106</v>
      </c>
      <c r="F10" s="10" t="s">
        <v>107</v>
      </c>
      <c r="G10" s="10" t="s">
        <v>108</v>
      </c>
      <c r="H10" s="10" t="s">
        <v>30</v>
      </c>
      <c r="I10" s="10" t="s">
        <v>20</v>
      </c>
      <c r="J10" s="10" t="s">
        <v>21</v>
      </c>
      <c r="K10" s="10" t="s">
        <v>22</v>
      </c>
      <c r="L10" s="10" t="s">
        <v>109</v>
      </c>
    </row>
  </sheetData>
  <phoneticPr fontId="6" type="noConversion"/>
  <conditionalFormatting sqref="K2:K7">
    <cfRule type="cellIs" dxfId="13" priority="1" operator="equal">
      <formula>"Pass"</formula>
    </cfRule>
    <cfRule type="cellIs" dxfId="12" priority="2" operator="equal">
      <formula>"Fail"</formula>
    </cfRule>
  </conditionalFormatting>
  <conditionalFormatting sqref="K2:K8">
    <cfRule type="cellIs" dxfId="11" priority="3" operator="equal">
      <formula>"Pass"</formula>
    </cfRule>
    <cfRule type="cellIs" dxfId="10" priority="4" operator="equal">
      <formula>"Fail"</formula>
    </cfRule>
  </conditionalFormatting>
  <conditionalFormatting sqref="K2:K10">
    <cfRule type="cellIs" dxfId="9" priority="5" operator="equal">
      <formula>"Pass"</formula>
    </cfRule>
    <cfRule type="cellIs" dxfId="8" priority="6" operator="equal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0" customWidth="1"/>
    <col min="3" max="3" width="14" customWidth="1"/>
    <col min="4" max="4" width="24" customWidth="1"/>
    <col min="5" max="6" width="26" customWidth="1"/>
    <col min="7" max="7" width="30" customWidth="1"/>
    <col min="8" max="8" width="26" customWidth="1"/>
    <col min="9" max="9" width="12" customWidth="1"/>
    <col min="10" max="10" width="10" customWidth="1"/>
    <col min="11" max="11" width="12" customWidth="1"/>
    <col min="12" max="13" width="20" customWidth="1"/>
  </cols>
  <sheetData>
    <row r="1" spans="1:13" ht="31.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110</v>
      </c>
      <c r="M1" s="1" t="s">
        <v>11</v>
      </c>
    </row>
    <row r="2" spans="1:13" ht="40.049999999999997" customHeight="1" x14ac:dyDescent="0.4">
      <c r="A2" s="2" t="s">
        <v>111</v>
      </c>
      <c r="B2" s="2" t="s">
        <v>112</v>
      </c>
      <c r="C2" s="2" t="s">
        <v>14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30</v>
      </c>
      <c r="I2" s="2" t="s">
        <v>20</v>
      </c>
      <c r="J2" s="2" t="s">
        <v>21</v>
      </c>
      <c r="K2" s="2" t="s">
        <v>22</v>
      </c>
      <c r="L2" s="2" t="s">
        <v>117</v>
      </c>
      <c r="M2" s="2" t="s">
        <v>30</v>
      </c>
    </row>
    <row r="3" spans="1:13" ht="40.049999999999997" customHeight="1" x14ac:dyDescent="0.4">
      <c r="A3" s="2" t="s">
        <v>118</v>
      </c>
      <c r="B3" s="2" t="s">
        <v>112</v>
      </c>
      <c r="C3" s="2" t="s">
        <v>14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29</v>
      </c>
      <c r="J3" s="2" t="s">
        <v>21</v>
      </c>
      <c r="K3" s="2" t="s">
        <v>22</v>
      </c>
      <c r="L3" s="2" t="s">
        <v>124</v>
      </c>
      <c r="M3" s="2" t="s">
        <v>30</v>
      </c>
    </row>
    <row r="4" spans="1:13" ht="40.049999999999997" customHeight="1" x14ac:dyDescent="0.4">
      <c r="A4" s="2" t="s">
        <v>125</v>
      </c>
      <c r="B4" s="2" t="s">
        <v>112</v>
      </c>
      <c r="C4" s="2" t="s">
        <v>14</v>
      </c>
      <c r="D4" s="2" t="s">
        <v>126</v>
      </c>
      <c r="E4" s="2" t="s">
        <v>127</v>
      </c>
      <c r="F4" s="2" t="s">
        <v>128</v>
      </c>
      <c r="G4" s="2" t="s">
        <v>129</v>
      </c>
      <c r="H4" s="2" t="s">
        <v>130</v>
      </c>
      <c r="I4" s="2" t="s">
        <v>20</v>
      </c>
      <c r="J4" s="2" t="s">
        <v>21</v>
      </c>
      <c r="K4" s="2" t="s">
        <v>22</v>
      </c>
      <c r="L4" s="2" t="s">
        <v>131</v>
      </c>
      <c r="M4" s="2" t="s">
        <v>30</v>
      </c>
    </row>
    <row r="5" spans="1:13" ht="40.049999999999997" customHeight="1" x14ac:dyDescent="0.4">
      <c r="A5" s="2" t="s">
        <v>132</v>
      </c>
      <c r="B5" s="2" t="s">
        <v>112</v>
      </c>
      <c r="C5" s="2" t="s">
        <v>32</v>
      </c>
      <c r="D5" s="2" t="s">
        <v>133</v>
      </c>
      <c r="E5" s="2" t="s">
        <v>134</v>
      </c>
      <c r="F5" s="2" t="s">
        <v>135</v>
      </c>
      <c r="G5" s="2" t="s">
        <v>136</v>
      </c>
      <c r="H5" s="2" t="s">
        <v>137</v>
      </c>
      <c r="I5" s="2" t="s">
        <v>20</v>
      </c>
      <c r="J5" s="2" t="s">
        <v>21</v>
      </c>
      <c r="K5" s="2" t="s">
        <v>22</v>
      </c>
      <c r="L5" s="2" t="s">
        <v>138</v>
      </c>
      <c r="M5" s="2" t="s">
        <v>139</v>
      </c>
    </row>
    <row r="6" spans="1:13" ht="40.049999999999997" customHeight="1" x14ac:dyDescent="0.4">
      <c r="A6" s="2" t="s">
        <v>140</v>
      </c>
      <c r="B6" s="2" t="s">
        <v>112</v>
      </c>
      <c r="C6" s="2" t="s">
        <v>78</v>
      </c>
      <c r="D6" s="2" t="s">
        <v>141</v>
      </c>
      <c r="E6" s="2" t="s">
        <v>142</v>
      </c>
      <c r="F6" s="2" t="s">
        <v>143</v>
      </c>
      <c r="G6" s="2" t="s">
        <v>144</v>
      </c>
      <c r="H6" s="2" t="s">
        <v>30</v>
      </c>
      <c r="I6" s="2" t="s">
        <v>29</v>
      </c>
      <c r="J6" s="2" t="s">
        <v>21</v>
      </c>
      <c r="K6" s="2" t="s">
        <v>22</v>
      </c>
      <c r="L6" s="2" t="s">
        <v>145</v>
      </c>
      <c r="M6" s="2" t="s">
        <v>30</v>
      </c>
    </row>
    <row r="7" spans="1:13" ht="40.049999999999997" customHeight="1" x14ac:dyDescent="0.4">
      <c r="A7" s="2" t="s">
        <v>146</v>
      </c>
      <c r="B7" s="2" t="s">
        <v>112</v>
      </c>
      <c r="C7" s="2" t="s">
        <v>70</v>
      </c>
      <c r="D7" s="2" t="s">
        <v>147</v>
      </c>
      <c r="E7" s="2" t="s">
        <v>148</v>
      </c>
      <c r="F7" s="2" t="s">
        <v>149</v>
      </c>
      <c r="G7" s="2" t="s">
        <v>150</v>
      </c>
      <c r="H7" s="2" t="s">
        <v>151</v>
      </c>
      <c r="I7" s="2" t="s">
        <v>20</v>
      </c>
      <c r="J7" s="2" t="s">
        <v>21</v>
      </c>
      <c r="K7" s="2" t="s">
        <v>22</v>
      </c>
      <c r="L7" s="2" t="s">
        <v>152</v>
      </c>
      <c r="M7" s="2" t="s">
        <v>30</v>
      </c>
    </row>
    <row r="8" spans="1:13" ht="40.049999999999997" customHeight="1" x14ac:dyDescent="0.4">
      <c r="A8" s="10" t="s">
        <v>153</v>
      </c>
      <c r="B8" s="10" t="s">
        <v>112</v>
      </c>
      <c r="C8" s="10" t="s">
        <v>85</v>
      </c>
      <c r="D8" s="10" t="s">
        <v>154</v>
      </c>
      <c r="E8" s="10" t="s">
        <v>155</v>
      </c>
      <c r="F8" s="10" t="s">
        <v>149</v>
      </c>
      <c r="G8" s="10" t="s">
        <v>156</v>
      </c>
      <c r="H8" s="10" t="s">
        <v>157</v>
      </c>
      <c r="I8" s="10" t="s">
        <v>20</v>
      </c>
      <c r="J8" s="10" t="s">
        <v>21</v>
      </c>
      <c r="K8" s="10" t="s">
        <v>22</v>
      </c>
      <c r="L8" s="10" t="s">
        <v>158</v>
      </c>
      <c r="M8" s="10" t="s">
        <v>30</v>
      </c>
    </row>
  </sheetData>
  <phoneticPr fontId="6" type="noConversion"/>
  <conditionalFormatting sqref="K2:K7">
    <cfRule type="cellIs" dxfId="7" priority="1" operator="equal">
      <formula>"Pass"</formula>
    </cfRule>
    <cfRule type="cellIs" dxfId="6" priority="2" operator="equal">
      <formula>"Fail"</formula>
    </cfRule>
  </conditionalFormatting>
  <conditionalFormatting sqref="K2:K8">
    <cfRule type="cellIs" dxfId="5" priority="3" operator="equal">
      <formula>"Pass"</formula>
    </cfRule>
    <cfRule type="cellIs" dxfId="4" priority="4" operator="equal">
      <formula>"Fail"</formula>
    </cfRule>
    <cfRule type="cellIs" dxfId="3" priority="5" operator="equal">
      <formula>"Pass"</formula>
    </cfRule>
    <cfRule type="cellIs" dxfId="2" priority="6" operator="equal">
      <formula>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7.399999999999999" x14ac:dyDescent="0.4"/>
  <cols>
    <col min="1" max="1" width="18" customWidth="1"/>
    <col min="2" max="4" width="14" customWidth="1"/>
    <col min="5" max="5" width="30" customWidth="1"/>
  </cols>
  <sheetData>
    <row r="1" spans="1:5" ht="21" customHeight="1" x14ac:dyDescent="0.45">
      <c r="A1" s="3" t="s">
        <v>159</v>
      </c>
    </row>
    <row r="3" spans="1:5" x14ac:dyDescent="0.4">
      <c r="A3" s="4" t="s">
        <v>160</v>
      </c>
      <c r="B3" s="4" t="s">
        <v>161</v>
      </c>
      <c r="C3" s="4" t="s">
        <v>22</v>
      </c>
      <c r="D3" s="4" t="s">
        <v>162</v>
      </c>
      <c r="E3" s="4" t="s">
        <v>11</v>
      </c>
    </row>
    <row r="4" spans="1:5" x14ac:dyDescent="0.4">
      <c r="A4" s="5" t="s">
        <v>13</v>
      </c>
      <c r="B4" s="5">
        <f>COUNTA(단위!A2:A1000)</f>
        <v>5</v>
      </c>
      <c r="C4" s="5">
        <f>COUNTIF(단위!K2:K1000,"Pass")</f>
        <v>5</v>
      </c>
      <c r="D4" s="5">
        <f>COUNTIF(단위!K2:K1000,"Fail")</f>
        <v>0</v>
      </c>
      <c r="E4" s="5" t="s">
        <v>30</v>
      </c>
    </row>
    <row r="5" spans="1:5" x14ac:dyDescent="0.4">
      <c r="A5" s="5" t="s">
        <v>50</v>
      </c>
      <c r="B5" s="5">
        <f>COUNTA(통합!A2:A1000)</f>
        <v>9</v>
      </c>
      <c r="C5" s="5">
        <f>COUNTIF(통합!K2:K1000,"Pass")</f>
        <v>9</v>
      </c>
      <c r="D5" s="5">
        <f>COUNTIF(통합!K2:K1000,"Fail")</f>
        <v>0</v>
      </c>
      <c r="E5" s="5" t="s">
        <v>30</v>
      </c>
    </row>
    <row r="6" spans="1:5" x14ac:dyDescent="0.4">
      <c r="A6" s="5" t="s">
        <v>112</v>
      </c>
      <c r="B6" s="5">
        <f>COUNTA(E2E!A2:A1000)</f>
        <v>7</v>
      </c>
      <c r="C6" s="5">
        <f>COUNTIF(E2E!K2:K1000,"Pass")</f>
        <v>7</v>
      </c>
      <c r="D6" s="5">
        <f>COUNTIF(E2E!K2:K1000,"Fail")</f>
        <v>0</v>
      </c>
      <c r="E6" s="5" t="s">
        <v>30</v>
      </c>
    </row>
    <row r="7" spans="1:5" x14ac:dyDescent="0.4">
      <c r="A7" s="6" t="s">
        <v>163</v>
      </c>
      <c r="B7" s="6">
        <f>SUM(B4:B6)</f>
        <v>21</v>
      </c>
      <c r="C7" s="6">
        <f>SUM(C4:C6)</f>
        <v>21</v>
      </c>
      <c r="D7" s="6">
        <f>SUM(D4:D6)</f>
        <v>0</v>
      </c>
      <c r="E7" s="7"/>
    </row>
    <row r="9" spans="1:5" x14ac:dyDescent="0.4">
      <c r="A9" s="8" t="s">
        <v>164</v>
      </c>
    </row>
    <row r="10" spans="1:5" x14ac:dyDescent="0.4">
      <c r="A10" s="4" t="s">
        <v>165</v>
      </c>
      <c r="B10" s="4" t="s">
        <v>166</v>
      </c>
      <c r="C10" s="4" t="s">
        <v>167</v>
      </c>
      <c r="D10" s="4" t="s">
        <v>168</v>
      </c>
      <c r="E10" s="4" t="s">
        <v>169</v>
      </c>
    </row>
    <row r="11" spans="1:5" ht="46.8" customHeight="1" x14ac:dyDescent="0.4">
      <c r="A11" s="2" t="s">
        <v>14</v>
      </c>
      <c r="B11" s="2" t="s">
        <v>170</v>
      </c>
      <c r="C11" s="2">
        <f>COUNTIF(단위!C2:C1000,"AC1")+COUNTIF(통합!C2:C1000,"AC1")+COUNTIF(E2E!C2:C1000,"AC1")</f>
        <v>7</v>
      </c>
      <c r="D11" s="2">
        <f>COUNTIFS(단위!C2:C1000,"AC1",단위!K2:K1000,"Pass")+COUNTIFS(통합!C2:C1000,"AC1",통합!K2:K1000,"Pass")+COUNTIFS(E2E!C2:C1000,"AC1",E2E!K2:K1000,"Pass")</f>
        <v>7</v>
      </c>
      <c r="E11" s="2" t="str">
        <f t="shared" ref="E11:E16" si="0">IF(D11=0,"미검증",IF(D11=C11,"O","X"))</f>
        <v>O</v>
      </c>
    </row>
    <row r="12" spans="1:5" ht="46.8" customHeight="1" x14ac:dyDescent="0.4">
      <c r="A12" s="2" t="s">
        <v>85</v>
      </c>
      <c r="B12" s="2" t="s">
        <v>171</v>
      </c>
      <c r="C12" s="2">
        <f>COUNTIF(단위!C2:C1000,"AC2")+COUNTIF(통합!C2:C1000,"AC2")+COUNTIF(E2E!C2:C1000,"AC2")</f>
        <v>2</v>
      </c>
      <c r="D12" s="2">
        <f>COUNTIFS(단위!C2:C1000,"AC2",단위!K2:K1000,"Pass")+COUNTIFS(통합!C2:C1000,"AC2",통합!K2:K1000,"Pass")+COUNTIFS(E2E!C2:C1000,"AC2",E2E!K2:K1000,"Pass")</f>
        <v>2</v>
      </c>
      <c r="E12" s="2" t="str">
        <f t="shared" si="0"/>
        <v>O</v>
      </c>
    </row>
    <row r="13" spans="1:5" ht="46.8" customHeight="1" x14ac:dyDescent="0.4">
      <c r="A13" s="2" t="s">
        <v>78</v>
      </c>
      <c r="B13" s="2" t="s">
        <v>172</v>
      </c>
      <c r="C13" s="2">
        <f>COUNTIF(단위!C2:C1000,"AC3")+COUNTIF(통합!C2:C1000,"AC3")+COUNTIF(E2E!C2:C1000,"AC3")</f>
        <v>2</v>
      </c>
      <c r="D13" s="2">
        <f>COUNTIFS(단위!C2:C1000,"AC3",단위!K2:K1000,"Pass")+COUNTIFS(통합!C2:C1000,"AC3",통합!K2:K1000,"Pass")+COUNTIFS(E2E!C2:C1000,"AC3",E2E!K2:K1000,"Pass")</f>
        <v>2</v>
      </c>
      <c r="E13" s="2" t="str">
        <f t="shared" si="0"/>
        <v>O</v>
      </c>
    </row>
    <row r="14" spans="1:5" ht="46.8" customHeight="1" x14ac:dyDescent="0.4">
      <c r="A14" s="2" t="s">
        <v>32</v>
      </c>
      <c r="B14" s="2" t="s">
        <v>173</v>
      </c>
      <c r="C14" s="2">
        <f>COUNTIF(단위!C2:C1000,"AC4")+COUNTIF(통합!C2:C1000,"AC4")+COUNTIF(E2E!C2:C1000,"AC4")</f>
        <v>4</v>
      </c>
      <c r="D14" s="2">
        <f>COUNTIFS(단위!C2:C1000,"AC4",단위!K2:K1000,"Pass")+COUNTIFS(통합!C2:C1000,"AC4",통합!K2:K1000,"Pass")+COUNTIFS(E2E!C2:C1000,"AC4",E2E!K2:K1000,"Pass")</f>
        <v>4</v>
      </c>
      <c r="E14" s="2" t="str">
        <f t="shared" si="0"/>
        <v>O</v>
      </c>
    </row>
    <row r="15" spans="1:5" ht="46.8" customHeight="1" x14ac:dyDescent="0.4">
      <c r="A15" s="2" t="s">
        <v>63</v>
      </c>
      <c r="B15" s="2" t="s">
        <v>174</v>
      </c>
      <c r="C15" s="2">
        <f>COUNTIF(단위!C2:C1000,"AC5")+COUNTIF(통합!C2:C1000,"AC5")+COUNTIF(E2E!C2:C1000,"AC5")</f>
        <v>1</v>
      </c>
      <c r="D15" s="2">
        <f>COUNTIFS(단위!C2:C1000,"AC5",단위!K2:K1000,"Pass")+COUNTIFS(통합!C2:C1000,"AC5",통합!K2:K1000,"Pass")+COUNTIFS(E2E!C2:C1000,"AC5",E2E!K2:K1000,"Pass")</f>
        <v>1</v>
      </c>
      <c r="E15" s="2" t="str">
        <f t="shared" si="0"/>
        <v>O</v>
      </c>
    </row>
    <row r="16" spans="1:5" ht="62.4" customHeight="1" x14ac:dyDescent="0.4">
      <c r="A16" s="2" t="s">
        <v>70</v>
      </c>
      <c r="B16" s="2" t="s">
        <v>175</v>
      </c>
      <c r="C16" s="2">
        <f>COUNTIF(단위!C2:C1000,"AC6")+COUNTIF(통합!C2:C1000,"AC6")+COUNTIF(E2E!C2:C1000,"AC6")</f>
        <v>2</v>
      </c>
      <c r="D16" s="2">
        <f>COUNTIFS(단위!C2:C1000,"AC6",단위!K2:K1000,"Pass")+COUNTIFS(통합!C2:C1000,"AC6",통합!K2:K1000,"Pass")+COUNTIFS(E2E!C2:C1000,"AC6",E2E!K2:K1000,"Pass")</f>
        <v>2</v>
      </c>
      <c r="E16" s="2" t="str">
        <f t="shared" si="0"/>
        <v>O</v>
      </c>
    </row>
    <row r="18" spans="1:2" x14ac:dyDescent="0.4">
      <c r="A18" s="9" t="s">
        <v>176</v>
      </c>
      <c r="B18" s="9" t="str">
        <f>COUNTIF(E11:E16,"O")&amp;"/6"</f>
        <v>6/6</v>
      </c>
    </row>
  </sheetData>
  <phoneticPr fontId="6" type="noConversion"/>
  <conditionalFormatting sqref="E11:E16">
    <cfRule type="cellIs" dxfId="1" priority="1" operator="equal">
      <formula>"O"</formula>
    </cfRule>
    <cfRule type="cellIs" dxfId="0" priority="2" operator="equal">
      <formula>"X"</formula>
    </cfRule>
  </conditionalFormatting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단위</vt:lpstr>
      <vt:lpstr>통합</vt:lpstr>
      <vt:lpstr>E2E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LG</cp:lastModifiedBy>
  <dcterms:created xsi:type="dcterms:W3CDTF">2026-08-28T02:32:46Z</dcterms:created>
  <dcterms:modified xsi:type="dcterms:W3CDTF">2026-08-28T06:10:25Z</dcterms:modified>
</cp:coreProperties>
</file>